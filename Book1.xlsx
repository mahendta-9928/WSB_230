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197806-465F-4C96-B1DE-81E77AD9E947}" xr6:coauthVersionLast="47" xr6:coauthVersionMax="47" xr10:uidLastSave="{00000000-0000-0000-0000-000000000000}"/>
  <bookViews>
    <workbookView minimized="1" xWindow="1880" yWindow="1790" windowWidth="14400" windowHeight="7270" activeTab="2" xr2:uid="{F713AB3D-8C55-495A-89A4-8BF1A472E7D3}"/>
  </bookViews>
  <sheets>
    <sheet name="Sheet1" sheetId="1" r:id="rId1"/>
    <sheet name="Sheet3" sheetId="3" r:id="rId2"/>
    <sheet name="Sheet2" sheetId="2" r:id="rId3"/>
    <sheet name="Sheet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3" i="4"/>
  <c r="Y12" i="4"/>
  <c r="X12" i="4"/>
  <c r="W12" i="4"/>
  <c r="V12" i="4"/>
  <c r="U12" i="4"/>
  <c r="S12" i="4"/>
  <c r="R12" i="4"/>
  <c r="Q12" i="4"/>
  <c r="P12" i="4"/>
  <c r="O12" i="4"/>
  <c r="Y11" i="4"/>
  <c r="X11" i="4"/>
  <c r="W11" i="4"/>
  <c r="V11" i="4"/>
  <c r="U11" i="4"/>
  <c r="S11" i="4"/>
  <c r="R11" i="4"/>
  <c r="Q11" i="4"/>
  <c r="P11" i="4"/>
  <c r="O11" i="4"/>
  <c r="Y10" i="4"/>
  <c r="X10" i="4"/>
  <c r="W10" i="4"/>
  <c r="V10" i="4"/>
  <c r="U10" i="4"/>
  <c r="S10" i="4"/>
  <c r="R10" i="4"/>
  <c r="Q10" i="4"/>
  <c r="P10" i="4"/>
  <c r="O10" i="4"/>
  <c r="Y9" i="4"/>
  <c r="X9" i="4"/>
  <c r="W9" i="4"/>
  <c r="V9" i="4"/>
  <c r="U9" i="4"/>
  <c r="S9" i="4"/>
  <c r="R9" i="4"/>
  <c r="Q9" i="4"/>
  <c r="P9" i="4"/>
  <c r="O9" i="4"/>
  <c r="Y8" i="4"/>
  <c r="X8" i="4"/>
  <c r="W8" i="4"/>
  <c r="V8" i="4"/>
  <c r="U8" i="4"/>
  <c r="S8" i="4"/>
  <c r="R8" i="4"/>
  <c r="Q8" i="4"/>
  <c r="P8" i="4"/>
  <c r="O8" i="4"/>
  <c r="Y7" i="4"/>
  <c r="X7" i="4"/>
  <c r="W7" i="4"/>
  <c r="V7" i="4"/>
  <c r="U7" i="4"/>
  <c r="S7" i="4"/>
  <c r="R7" i="4"/>
  <c r="Q7" i="4"/>
  <c r="P7" i="4"/>
  <c r="O7" i="4"/>
  <c r="Y6" i="4"/>
  <c r="X6" i="4"/>
  <c r="W6" i="4"/>
  <c r="V6" i="4"/>
  <c r="U6" i="4"/>
  <c r="S6" i="4"/>
  <c r="R6" i="4"/>
  <c r="Q6" i="4"/>
  <c r="P6" i="4"/>
  <c r="O6" i="4"/>
  <c r="Y5" i="4"/>
  <c r="X5" i="4"/>
  <c r="W5" i="4"/>
  <c r="V5" i="4"/>
  <c r="U5" i="4"/>
  <c r="S5" i="4"/>
  <c r="R5" i="4"/>
  <c r="Q5" i="4"/>
  <c r="P5" i="4"/>
  <c r="O5" i="4"/>
  <c r="Y4" i="4"/>
  <c r="X4" i="4"/>
  <c r="W4" i="4"/>
  <c r="V4" i="4"/>
  <c r="U4" i="4"/>
  <c r="T4" i="4" a="1"/>
  <c r="T4" i="4" s="1"/>
  <c r="S4" i="4"/>
  <c r="R4" i="4"/>
  <c r="Q4" i="4"/>
  <c r="P4" i="4"/>
  <c r="O4" i="4"/>
  <c r="O4" i="3" a="1"/>
  <c r="O4" i="3" s="1"/>
  <c r="D2" i="2" a="1"/>
  <c r="D2" i="2" s="1"/>
  <c r="D3" i="2" s="1"/>
  <c r="J7" i="1"/>
  <c r="J9" i="1"/>
  <c r="J10" i="1"/>
  <c r="J11" i="1"/>
  <c r="J2" i="1"/>
  <c r="I3" i="1"/>
  <c r="J3" i="1" s="1"/>
  <c r="I4" i="1"/>
  <c r="I5" i="1"/>
  <c r="J5" i="1" s="1"/>
  <c r="I6" i="1"/>
  <c r="J6" i="1" s="1"/>
  <c r="I7" i="1"/>
  <c r="I8" i="1"/>
  <c r="J8" i="1" s="1"/>
  <c r="I9" i="1"/>
  <c r="I10" i="1"/>
  <c r="I11" i="1"/>
  <c r="I2" i="1"/>
  <c r="J4" i="1" l="1"/>
  <c r="J3" i="2" l="1"/>
  <c r="I3" i="2"/>
  <c r="E3" i="2"/>
  <c r="F3" i="2"/>
  <c r="G3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<sst xmlns="http://schemas.openxmlformats.org/spreadsheetml/2006/main" count="103" uniqueCount="75">
  <si>
    <t>SID</t>
  </si>
  <si>
    <t>NAME</t>
  </si>
  <si>
    <t>PHY</t>
  </si>
  <si>
    <t>ENG</t>
  </si>
  <si>
    <t>HI</t>
  </si>
  <si>
    <t>MAT</t>
  </si>
  <si>
    <t>CHA</t>
  </si>
  <si>
    <t>HARSHU</t>
  </si>
  <si>
    <t>RAVI</t>
  </si>
  <si>
    <t>KUMAR</t>
  </si>
  <si>
    <t>SHAH</t>
  </si>
  <si>
    <t>AMIT</t>
  </si>
  <si>
    <t>JITU</t>
  </si>
  <si>
    <t>PRIYA</t>
  </si>
  <si>
    <t>SANDEEP</t>
  </si>
  <si>
    <t>ANJALI</t>
  </si>
  <si>
    <t>ROHIT</t>
  </si>
  <si>
    <t>TOTAL MARKS</t>
  </si>
  <si>
    <t>PER</t>
  </si>
  <si>
    <t>PH</t>
  </si>
  <si>
    <t>CH</t>
  </si>
  <si>
    <t>TOTAL</t>
  </si>
  <si>
    <t>company</t>
  </si>
  <si>
    <t>Emp ID</t>
  </si>
  <si>
    <t>Employee Name</t>
  </si>
  <si>
    <t>Car Company</t>
  </si>
  <si>
    <t>Vehicle Type</t>
  </si>
  <si>
    <t>Price (₹)</t>
  </si>
  <si>
    <t>E001</t>
  </si>
  <si>
    <t>Ravi Kumar</t>
  </si>
  <si>
    <t>Maruti Suzuki</t>
  </si>
  <si>
    <t>4 Wheeler</t>
  </si>
  <si>
    <t>E002</t>
  </si>
  <si>
    <t>Aman Sharma</t>
  </si>
  <si>
    <t>Tata</t>
  </si>
  <si>
    <t>E003</t>
  </si>
  <si>
    <t>Neha Verma</t>
  </si>
  <si>
    <t>Hero</t>
  </si>
  <si>
    <t>2 Wheeler</t>
  </si>
  <si>
    <t>E004</t>
  </si>
  <si>
    <t>Rohit Singh</t>
  </si>
  <si>
    <t>Honda</t>
  </si>
  <si>
    <t>E005</t>
  </si>
  <si>
    <t>Priya Mehta</t>
  </si>
  <si>
    <t>Hyundai</t>
  </si>
  <si>
    <t>TVS</t>
  </si>
  <si>
    <t>TATA</t>
  </si>
  <si>
    <t>HERO</t>
  </si>
  <si>
    <t>HONDA</t>
  </si>
  <si>
    <t>HYUNDAI</t>
  </si>
  <si>
    <t>2Wheeler</t>
  </si>
  <si>
    <t>4Wheeler</t>
  </si>
  <si>
    <t>MARUTI SUZUKI</t>
  </si>
  <si>
    <t>Column1</t>
  </si>
  <si>
    <t>DAY</t>
  </si>
  <si>
    <t>MONTH</t>
  </si>
  <si>
    <t>YEAR</t>
  </si>
  <si>
    <t>NO.OF DATE</t>
  </si>
  <si>
    <t>NO.OF MONTH</t>
  </si>
  <si>
    <t>NO.OF YEAR</t>
  </si>
  <si>
    <t>WEEKENDS</t>
  </si>
  <si>
    <t>WORKING DAYS</t>
  </si>
  <si>
    <t>NEAREST WORK</t>
  </si>
  <si>
    <t>LAST MONTH</t>
  </si>
  <si>
    <t>BEFORE EVENT</t>
  </si>
  <si>
    <t>christmas</t>
  </si>
  <si>
    <t>Veterans Day</t>
  </si>
  <si>
    <t>Halloween</t>
  </si>
  <si>
    <t>Independence Day</t>
  </si>
  <si>
    <t>labour day</t>
  </si>
  <si>
    <t>April Fools' Day</t>
  </si>
  <si>
    <t>St. Patrick's Day</t>
  </si>
  <si>
    <t>Valentine's Day</t>
  </si>
  <si>
    <t>New Year's Day</t>
  </si>
  <si>
    <t>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</si>
</sst>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0" fillId="2" borderId="0" xfId="0" applyFill="1"/>
    <xf numFmtId="0" fontId="0" fillId="3" borderId="2" xfId="0" applyFont="1" applyFill="1" applyBorder="1"/>
    <xf numFmtId="0" fontId="0" fillId="0" borderId="2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8"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B6-48E0-8195-427F89704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B6-48E0-8195-427F89704C46}"/>
              </c:ext>
            </c:extLst>
          </c:dPt>
          <c:val>
            <c:numRef>
              <c:f>Sheet2!$D$2:$D$3</c:f>
              <c:numCache>
                <c:formatCode>General</c:formatCode>
                <c:ptCount val="2"/>
                <c:pt idx="0">
                  <c:v>26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6-4B7B-AB37-48FD867AC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</xdr:colOff>
      <xdr:row>5</xdr:row>
      <xdr:rowOff>114300</xdr:rowOff>
    </xdr:from>
    <xdr:to>
      <xdr:col>10</xdr:col>
      <xdr:colOff>384175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2D3492-6C67-4CC3-A0E4-4366C0D63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565150</xdr:colOff>
      <xdr:row>10</xdr:row>
      <xdr:rowOff>95250</xdr:rowOff>
    </xdr:from>
    <xdr:to>
      <xdr:col>7</xdr:col>
      <xdr:colOff>146050</xdr:colOff>
      <xdr:row>14</xdr:row>
      <xdr:rowOff>6350</xdr:rowOff>
    </xdr:to>
    <xdr:sp macro="" textlink="$D$2">
      <xdr:nvSpPr>
        <xdr:cNvPr id="4" name="Rectangle 3">
          <a:extLst>
            <a:ext uri="{FF2B5EF4-FFF2-40B4-BE49-F238E27FC236}">
              <a16:creationId xmlns:a16="http://schemas.microsoft.com/office/drawing/2014/main" id="{B6E1DD48-E707-4445-91B4-4942C375C961}"/>
            </a:ext>
          </a:extLst>
        </xdr:cNvPr>
        <xdr:cNvSpPr/>
      </xdr:nvSpPr>
      <xdr:spPr>
        <a:xfrm>
          <a:off x="3613150" y="1936750"/>
          <a:ext cx="800100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C700E0-0453-413E-89E0-6A1EAE818F51}" type="TxLink">
            <a:rPr lang="en-US" sz="4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</a:t>
          </a:fld>
          <a:endParaRPr lang="en-IN" sz="4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12</xdr:col>
      <xdr:colOff>298773</xdr:colOff>
      <xdr:row>34</xdr:row>
      <xdr:rowOff>127196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11093E-4D96-C238-06F1-5E967F3C9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0" y="2578100"/>
          <a:ext cx="6286823" cy="381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oducts%20DAYS.csv" TargetMode="External"/><Relationship Id="rId1" Type="http://schemas.openxmlformats.org/officeDocument/2006/relationships/externalLinkPath" Target="/Users/HP/Downloads/products%20DAY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 DAYS"/>
      <sheetName val="Sheet1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E6B0F-4D82-4E2B-9D74-B00FD5FE20A8}" name="Table2" displayName="Table2" ref="B2:D8" totalsRowShown="0">
  <autoFilter ref="B2:D8" xr:uid="{D5AE6B0F-4D82-4E2B-9D74-B00FD5FE20A8}"/>
  <tableColumns count="3">
    <tableColumn id="1" xr3:uid="{EA671645-4E18-44EB-8B1B-1AC97637754E}" name="company"/>
    <tableColumn id="2" xr3:uid="{2CE163F2-98F3-424C-BEBF-7A5F0B146FF6}" name="2Wheeler"/>
    <tableColumn id="3" xr3:uid="{C053CCF1-956B-4D1D-82F4-7805374EABB0}" name="4Whee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D671C3-E4E4-419F-BA90-95AE14570F0B}" name="Table3" displayName="Table3" ref="F3:K13" totalsRowShown="0" headerRowDxfId="7" dataDxfId="6">
  <autoFilter ref="F3:K13" xr:uid="{D0D671C3-E4E4-419F-BA90-95AE14570F0B}"/>
  <tableColumns count="6">
    <tableColumn id="1" xr3:uid="{288E10FA-0363-43A5-8D46-B08B089B93BB}" name="Emp ID" dataDxfId="5"/>
    <tableColumn id="2" xr3:uid="{E8101DC5-8BF6-4BC0-8558-84018C6FBE6C}" name="Employee Name" dataDxfId="4"/>
    <tableColumn id="3" xr3:uid="{B171E81B-7099-478E-A8D8-3AD56D99977D}" name="Car Company" dataDxfId="3"/>
    <tableColumn id="4" xr3:uid="{0E2FBC85-4397-4109-A83B-DB0C07816BB8}" name="Vehicle Type" dataDxfId="2"/>
    <tableColumn id="5" xr3:uid="{1439C0FC-3DAC-41EC-BF7F-083C10548B74}" name="Price (₹)" dataDxfId="1"/>
    <tableColumn id="6" xr3:uid="{5182631F-1EB0-4C7A-8C98-912BFD3AD06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CEBE-D3E6-44E8-9B56-798728E62307}">
  <dimension ref="B1:J11"/>
  <sheetViews>
    <sheetView zoomScaleNormal="100" workbookViewId="0">
      <selection activeCell="H14" sqref="H14"/>
    </sheetView>
  </sheetViews>
  <sheetFormatPr defaultRowHeight="14.5" x14ac:dyDescent="0.35"/>
  <sheetData>
    <row r="1" spans="2:10" x14ac:dyDescent="0.35">
      <c r="B1" t="s">
        <v>0</v>
      </c>
      <c r="C1" t="s">
        <v>1</v>
      </c>
      <c r="D1" t="s">
        <v>2</v>
      </c>
      <c r="E1" t="s">
        <v>6</v>
      </c>
      <c r="F1" t="s">
        <v>5</v>
      </c>
      <c r="G1" t="s">
        <v>4</v>
      </c>
      <c r="H1" t="s">
        <v>3</v>
      </c>
      <c r="I1" t="s">
        <v>17</v>
      </c>
      <c r="J1" t="s">
        <v>18</v>
      </c>
    </row>
    <row r="2" spans="2:10" x14ac:dyDescent="0.35">
      <c r="B2">
        <v>1</v>
      </c>
      <c r="C2" t="s">
        <v>7</v>
      </c>
      <c r="D2">
        <v>21</v>
      </c>
      <c r="E2">
        <v>5</v>
      </c>
      <c r="F2">
        <v>64</v>
      </c>
      <c r="G2">
        <v>38</v>
      </c>
      <c r="H2">
        <v>44</v>
      </c>
      <c r="I2">
        <f t="shared" ref="I2:I11" si="0">SUM(D2:H2)</f>
        <v>172</v>
      </c>
      <c r="J2" s="1">
        <f>I2/500</f>
        <v>0.34399999999999997</v>
      </c>
    </row>
    <row r="3" spans="2:10" x14ac:dyDescent="0.35">
      <c r="B3">
        <v>2</v>
      </c>
      <c r="C3" t="s">
        <v>8</v>
      </c>
      <c r="D3">
        <v>6</v>
      </c>
      <c r="E3">
        <v>28</v>
      </c>
      <c r="F3">
        <v>1</v>
      </c>
      <c r="G3">
        <v>49</v>
      </c>
      <c r="H3">
        <v>79</v>
      </c>
      <c r="I3">
        <f t="shared" si="0"/>
        <v>163</v>
      </c>
      <c r="J3" s="1">
        <f t="shared" ref="J3:J11" si="1">I3/500</f>
        <v>0.32600000000000001</v>
      </c>
    </row>
    <row r="4" spans="2:10" x14ac:dyDescent="0.35">
      <c r="B4">
        <v>3</v>
      </c>
      <c r="C4" t="s">
        <v>9</v>
      </c>
      <c r="D4">
        <v>74</v>
      </c>
      <c r="E4">
        <v>84</v>
      </c>
      <c r="F4">
        <v>50</v>
      </c>
      <c r="G4">
        <v>10</v>
      </c>
      <c r="H4">
        <v>93</v>
      </c>
      <c r="I4">
        <f t="shared" si="0"/>
        <v>311</v>
      </c>
      <c r="J4" s="1">
        <f t="shared" si="1"/>
        <v>0.622</v>
      </c>
    </row>
    <row r="5" spans="2:10" x14ac:dyDescent="0.35">
      <c r="B5">
        <v>4</v>
      </c>
      <c r="C5" t="s">
        <v>10</v>
      </c>
      <c r="D5">
        <v>99</v>
      </c>
      <c r="E5">
        <v>36</v>
      </c>
      <c r="F5">
        <v>14</v>
      </c>
      <c r="G5">
        <v>27</v>
      </c>
      <c r="H5">
        <v>70</v>
      </c>
      <c r="I5">
        <f t="shared" si="0"/>
        <v>246</v>
      </c>
      <c r="J5" s="1">
        <f t="shared" si="1"/>
        <v>0.49199999999999999</v>
      </c>
    </row>
    <row r="6" spans="2:10" x14ac:dyDescent="0.35">
      <c r="B6">
        <v>5</v>
      </c>
      <c r="C6" t="s">
        <v>11</v>
      </c>
      <c r="D6">
        <v>72</v>
      </c>
      <c r="E6">
        <v>30</v>
      </c>
      <c r="F6">
        <v>43</v>
      </c>
      <c r="G6">
        <v>22</v>
      </c>
      <c r="H6">
        <v>70</v>
      </c>
      <c r="I6">
        <f t="shared" si="0"/>
        <v>237</v>
      </c>
      <c r="J6" s="1">
        <f t="shared" si="1"/>
        <v>0.47399999999999998</v>
      </c>
    </row>
    <row r="7" spans="2:10" x14ac:dyDescent="0.35">
      <c r="B7">
        <v>6</v>
      </c>
      <c r="C7" t="s">
        <v>12</v>
      </c>
      <c r="D7">
        <v>0</v>
      </c>
      <c r="E7">
        <v>47</v>
      </c>
      <c r="F7">
        <v>68</v>
      </c>
      <c r="G7">
        <v>79</v>
      </c>
      <c r="H7">
        <v>41</v>
      </c>
      <c r="I7">
        <f t="shared" si="0"/>
        <v>235</v>
      </c>
      <c r="J7" s="1">
        <f t="shared" si="1"/>
        <v>0.47</v>
      </c>
    </row>
    <row r="8" spans="2:10" x14ac:dyDescent="0.35">
      <c r="B8">
        <v>7</v>
      </c>
      <c r="C8" t="s">
        <v>13</v>
      </c>
      <c r="D8">
        <v>2</v>
      </c>
      <c r="E8">
        <v>84</v>
      </c>
      <c r="F8">
        <v>38</v>
      </c>
      <c r="G8">
        <v>0</v>
      </c>
      <c r="H8">
        <v>5</v>
      </c>
      <c r="I8">
        <f t="shared" si="0"/>
        <v>129</v>
      </c>
      <c r="J8" s="1">
        <f t="shared" si="1"/>
        <v>0.25800000000000001</v>
      </c>
    </row>
    <row r="9" spans="2:10" x14ac:dyDescent="0.35">
      <c r="B9">
        <v>8</v>
      </c>
      <c r="C9" t="s">
        <v>14</v>
      </c>
      <c r="D9">
        <v>47</v>
      </c>
      <c r="E9">
        <v>84</v>
      </c>
      <c r="F9">
        <v>47</v>
      </c>
      <c r="G9">
        <v>51</v>
      </c>
      <c r="H9">
        <v>28</v>
      </c>
      <c r="I9">
        <f t="shared" si="0"/>
        <v>257</v>
      </c>
      <c r="J9" s="1">
        <f t="shared" si="1"/>
        <v>0.51400000000000001</v>
      </c>
    </row>
    <row r="10" spans="2:10" x14ac:dyDescent="0.35">
      <c r="B10">
        <v>9</v>
      </c>
      <c r="C10" t="s">
        <v>15</v>
      </c>
      <c r="D10">
        <v>26</v>
      </c>
      <c r="E10">
        <v>99</v>
      </c>
      <c r="F10">
        <v>90</v>
      </c>
      <c r="G10">
        <v>79</v>
      </c>
      <c r="H10">
        <v>12</v>
      </c>
      <c r="I10">
        <f t="shared" si="0"/>
        <v>306</v>
      </c>
      <c r="J10" s="1">
        <f t="shared" si="1"/>
        <v>0.61199999999999999</v>
      </c>
    </row>
    <row r="11" spans="2:10" x14ac:dyDescent="0.35">
      <c r="B11">
        <v>10</v>
      </c>
      <c r="C11" t="s">
        <v>16</v>
      </c>
      <c r="D11">
        <v>74</v>
      </c>
      <c r="E11">
        <v>67</v>
      </c>
      <c r="F11">
        <v>60</v>
      </c>
      <c r="G11">
        <v>70</v>
      </c>
      <c r="H11">
        <v>41</v>
      </c>
      <c r="I11">
        <f t="shared" si="0"/>
        <v>312</v>
      </c>
      <c r="J11" s="1">
        <f t="shared" si="1"/>
        <v>0.624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958A-94B8-4D2C-8233-B33E5C18F46F}">
  <dimension ref="B2:O13"/>
  <sheetViews>
    <sheetView topLeftCell="A2" workbookViewId="0">
      <selection activeCell="I11" sqref="I11"/>
    </sheetView>
  </sheetViews>
  <sheetFormatPr defaultRowHeight="14.5" x14ac:dyDescent="0.35"/>
  <cols>
    <col min="2" max="2" width="10.453125" customWidth="1"/>
    <col min="6" max="6" width="8.81640625" customWidth="1"/>
    <col min="7" max="7" width="16.36328125" customWidth="1"/>
    <col min="8" max="8" width="14" customWidth="1"/>
    <col min="9" max="9" width="13.26953125" customWidth="1"/>
    <col min="10" max="10" width="9.6328125" customWidth="1"/>
  </cols>
  <sheetData>
    <row r="2" spans="2:15" x14ac:dyDescent="0.35">
      <c r="B2" t="s">
        <v>22</v>
      </c>
      <c r="C2" t="s">
        <v>50</v>
      </c>
      <c r="D2" t="s">
        <v>51</v>
      </c>
    </row>
    <row r="3" spans="2:15" x14ac:dyDescent="0.35">
      <c r="B3" t="s">
        <v>52</v>
      </c>
      <c r="C3">
        <v>0.05</v>
      </c>
      <c r="D3">
        <v>0.03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53</v>
      </c>
    </row>
    <row r="4" spans="2:15" x14ac:dyDescent="0.35">
      <c r="B4" t="s">
        <v>46</v>
      </c>
      <c r="C4">
        <v>0.02</v>
      </c>
      <c r="D4">
        <v>0.01</v>
      </c>
      <c r="F4" s="3" t="s">
        <v>28</v>
      </c>
      <c r="G4" s="3" t="s">
        <v>29</v>
      </c>
      <c r="H4" s="3" t="s">
        <v>30</v>
      </c>
      <c r="I4" s="3" t="s">
        <v>31</v>
      </c>
      <c r="J4" s="4">
        <v>850000</v>
      </c>
      <c r="K4" s="3"/>
      <c r="O4" t="str" cm="1">
        <f t="array" ref="O4:O8">_xlfn.UNIQUE(Table3[Emp ID])</f>
        <v>E001</v>
      </c>
    </row>
    <row r="5" spans="2:15" x14ac:dyDescent="0.35">
      <c r="B5" t="s">
        <v>47</v>
      </c>
      <c r="C5">
        <v>0.02</v>
      </c>
      <c r="D5">
        <v>0.03</v>
      </c>
      <c r="F5" s="3" t="s">
        <v>32</v>
      </c>
      <c r="G5" s="3" t="s">
        <v>33</v>
      </c>
      <c r="H5" s="3" t="s">
        <v>34</v>
      </c>
      <c r="I5" s="3" t="s">
        <v>31</v>
      </c>
      <c r="J5" s="4">
        <v>1275000</v>
      </c>
      <c r="K5" s="3"/>
      <c r="O5" t="str">
        <v>E002</v>
      </c>
    </row>
    <row r="6" spans="2:15" x14ac:dyDescent="0.35">
      <c r="B6" t="s">
        <v>48</v>
      </c>
      <c r="C6">
        <v>0.04</v>
      </c>
      <c r="D6">
        <v>0.06</v>
      </c>
      <c r="F6" s="3" t="s">
        <v>28</v>
      </c>
      <c r="G6" s="3" t="s">
        <v>29</v>
      </c>
      <c r="H6" s="3" t="s">
        <v>30</v>
      </c>
      <c r="I6" s="3" t="s">
        <v>31</v>
      </c>
      <c r="J6" s="4">
        <v>920000</v>
      </c>
      <c r="K6" s="3"/>
      <c r="O6" t="str">
        <v>E003</v>
      </c>
    </row>
    <row r="7" spans="2:15" x14ac:dyDescent="0.35">
      <c r="B7" t="s">
        <v>49</v>
      </c>
      <c r="C7">
        <v>0.02</v>
      </c>
      <c r="D7">
        <v>0.01</v>
      </c>
      <c r="F7" s="3" t="s">
        <v>35</v>
      </c>
      <c r="G7" s="3" t="s">
        <v>36</v>
      </c>
      <c r="H7" s="3" t="s">
        <v>37</v>
      </c>
      <c r="I7" s="3" t="s">
        <v>38</v>
      </c>
      <c r="J7" s="4">
        <v>95000</v>
      </c>
      <c r="K7" s="3"/>
      <c r="O7" t="str">
        <v>E004</v>
      </c>
    </row>
    <row r="8" spans="2:15" x14ac:dyDescent="0.35">
      <c r="B8" t="s">
        <v>45</v>
      </c>
      <c r="C8">
        <v>0.03</v>
      </c>
      <c r="D8">
        <v>0.04</v>
      </c>
      <c r="F8" s="3" t="s">
        <v>32</v>
      </c>
      <c r="G8" s="3" t="s">
        <v>33</v>
      </c>
      <c r="H8" s="3" t="s">
        <v>34</v>
      </c>
      <c r="I8" s="3" t="s">
        <v>31</v>
      </c>
      <c r="J8" s="4">
        <v>1190000</v>
      </c>
      <c r="K8" s="3"/>
      <c r="O8" t="str">
        <v>E005</v>
      </c>
    </row>
    <row r="9" spans="2:15" x14ac:dyDescent="0.35">
      <c r="F9" s="3" t="s">
        <v>39</v>
      </c>
      <c r="G9" s="3" t="s">
        <v>40</v>
      </c>
      <c r="H9" s="3" t="s">
        <v>41</v>
      </c>
      <c r="I9" s="3" t="s">
        <v>38</v>
      </c>
      <c r="J9" s="4">
        <v>120000</v>
      </c>
      <c r="K9" s="3"/>
    </row>
    <row r="10" spans="2:15" x14ac:dyDescent="0.35">
      <c r="F10" s="3" t="s">
        <v>42</v>
      </c>
      <c r="G10" s="3" t="s">
        <v>43</v>
      </c>
      <c r="H10" s="3" t="s">
        <v>44</v>
      </c>
      <c r="I10" s="3" t="s">
        <v>31</v>
      </c>
      <c r="J10" s="4">
        <v>1080000</v>
      </c>
      <c r="K10" s="3"/>
    </row>
    <row r="11" spans="2:15" x14ac:dyDescent="0.35">
      <c r="F11" s="3" t="s">
        <v>35</v>
      </c>
      <c r="G11" s="3" t="s">
        <v>36</v>
      </c>
      <c r="H11" s="3" t="s">
        <v>37</v>
      </c>
      <c r="I11" s="3" t="s">
        <v>38</v>
      </c>
      <c r="J11" s="4">
        <v>105000</v>
      </c>
      <c r="K11" s="3"/>
    </row>
    <row r="12" spans="2:15" x14ac:dyDescent="0.35">
      <c r="F12" s="3" t="s">
        <v>28</v>
      </c>
      <c r="G12" s="3" t="s">
        <v>29</v>
      </c>
      <c r="H12" s="3" t="s">
        <v>44</v>
      </c>
      <c r="I12" s="3" t="s">
        <v>31</v>
      </c>
      <c r="J12" s="4">
        <v>1340000</v>
      </c>
      <c r="K12" s="3"/>
    </row>
    <row r="13" spans="2:15" x14ac:dyDescent="0.35">
      <c r="F13" s="3" t="s">
        <v>32</v>
      </c>
      <c r="G13" s="3" t="s">
        <v>33</v>
      </c>
      <c r="H13" s="3" t="s">
        <v>34</v>
      </c>
      <c r="I13" s="3" t="s">
        <v>31</v>
      </c>
      <c r="J13" s="4">
        <v>1420000</v>
      </c>
      <c r="K13" s="3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A4DE-1FC5-42E4-B982-1AE75611DD5C}">
  <dimension ref="B1:N8"/>
  <sheetViews>
    <sheetView tabSelected="1" workbookViewId="0">
      <selection activeCell="N8" sqref="N8"/>
    </sheetView>
  </sheetViews>
  <sheetFormatPr defaultRowHeight="14.5" x14ac:dyDescent="0.35"/>
  <sheetData>
    <row r="1" spans="2:14" x14ac:dyDescent="0.35">
      <c r="D1" t="s">
        <v>19</v>
      </c>
      <c r="E1" t="s">
        <v>20</v>
      </c>
      <c r="F1" t="s">
        <v>5</v>
      </c>
      <c r="G1" t="s">
        <v>4</v>
      </c>
      <c r="H1" t="s">
        <v>3</v>
      </c>
      <c r="I1" t="s">
        <v>21</v>
      </c>
      <c r="J1" t="s">
        <v>18</v>
      </c>
    </row>
    <row r="2" spans="2:14" x14ac:dyDescent="0.35">
      <c r="B2" t="s">
        <v>15</v>
      </c>
      <c r="D2" cm="1">
        <f t="array" ref="D2:J2">VLOOKUP(B2,Sheet1!C1:J11,{2,3,4,5,6,7,8},)</f>
        <v>26</v>
      </c>
      <c r="E2">
        <v>99</v>
      </c>
      <c r="F2">
        <v>90</v>
      </c>
      <c r="G2">
        <v>79</v>
      </c>
      <c r="H2">
        <v>12</v>
      </c>
      <c r="I2">
        <v>306</v>
      </c>
      <c r="J2" s="1">
        <v>0.61199999999999999</v>
      </c>
    </row>
    <row r="3" spans="2:14" x14ac:dyDescent="0.35">
      <c r="D3">
        <f>100-D2</f>
        <v>74</v>
      </c>
      <c r="E3">
        <f t="shared" ref="E3:H3" si="0">100-E2</f>
        <v>1</v>
      </c>
      <c r="F3">
        <f t="shared" si="0"/>
        <v>10</v>
      </c>
      <c r="G3">
        <f t="shared" si="0"/>
        <v>21</v>
      </c>
      <c r="H3">
        <f t="shared" si="0"/>
        <v>88</v>
      </c>
      <c r="I3">
        <f>500-I2</f>
        <v>194</v>
      </c>
      <c r="J3" s="1">
        <f>1-J2</f>
        <v>0.38800000000000001</v>
      </c>
    </row>
    <row r="4" spans="2:14" x14ac:dyDescent="0.35">
      <c r="J4" s="1"/>
    </row>
    <row r="8" spans="2:14" x14ac:dyDescent="0.35">
      <c r="N8" t="s">
        <v>74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A1AA4C-1277-46BC-9A4D-19FEAD72219A}">
          <x14:formula1>
            <xm:f>Sheet1!$C$1:$C$11</xm:f>
          </x14:formula1>
          <xm:sqref>B3</xm:sqref>
        </x14:dataValidation>
        <x14:dataValidation type="list" allowBlank="1" showInputMessage="1" showErrorMessage="1" xr:uid="{E7D0C9A1-4D0D-4C06-B2B4-1A0F6186A8E7}">
          <x14:formula1>
            <xm:f>Sheet1!$C$2:$C$11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23D5-4ED5-48BE-8277-8C9D37219BBD}">
  <dimension ref="C3:Y12"/>
  <sheetViews>
    <sheetView topLeftCell="B8" workbookViewId="0">
      <selection activeCell="F3" sqref="F3:F11"/>
    </sheetView>
  </sheetViews>
  <sheetFormatPr defaultRowHeight="14.5" x14ac:dyDescent="0.35"/>
  <cols>
    <col min="3" max="3" width="10.7265625" customWidth="1"/>
    <col min="4" max="4" width="15.90625" customWidth="1"/>
    <col min="6" max="6" width="8.7265625" style="11"/>
  </cols>
  <sheetData>
    <row r="3" spans="3:25" x14ac:dyDescent="0.35">
      <c r="C3" s="9">
        <v>45292</v>
      </c>
      <c r="D3" s="7" t="s">
        <v>73</v>
      </c>
      <c r="F3" s="11">
        <f>C3-$C$3</f>
        <v>0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</row>
    <row r="4" spans="3:25" x14ac:dyDescent="0.35">
      <c r="C4" s="10">
        <v>45336</v>
      </c>
      <c r="D4" s="8" t="s">
        <v>72</v>
      </c>
      <c r="F4" s="11">
        <f t="shared" ref="F4:F11" si="0">C4-$C$3</f>
        <v>44</v>
      </c>
      <c r="O4" t="e">
        <f>TEXT(#REF!,"DDDD")</f>
        <v>#REF!</v>
      </c>
      <c r="P4" t="e">
        <f>TEXT(#REF!,"MMMM")</f>
        <v>#REF!</v>
      </c>
      <c r="Q4" t="e">
        <f>TEXT(#REF!,"YYYY")</f>
        <v>#REF!</v>
      </c>
      <c r="R4" t="e">
        <f>#REF!-$B$3</f>
        <v>#REF!</v>
      </c>
      <c r="S4" t="e">
        <f>MONTH(#REF!)-MONTH($B$3)</f>
        <v>#REF!</v>
      </c>
      <c r="T4" t="e" cm="1">
        <f t="array" ref="T4">YEAR([1]!Table2[Date])</f>
        <v>#REF!</v>
      </c>
      <c r="U4" t="e">
        <f>IF(WEEKDAY(#REF!,2)&gt;5,"WEEKENDS","WEEKDAYS")</f>
        <v>#REF!</v>
      </c>
      <c r="V4" t="e">
        <f>NETWORKDAYS.INTL($B$3,#REF!,1)</f>
        <v>#REF!</v>
      </c>
      <c r="W4" s="5" t="e">
        <f>WORKDAY(#REF!,1)</f>
        <v>#REF!</v>
      </c>
      <c r="X4" s="5" t="e">
        <f>EOMONTH(#REF!,0)</f>
        <v>#REF!</v>
      </c>
      <c r="Y4" s="5" t="e">
        <f>WORKDAY.INTL(#REF!,-1,1)</f>
        <v>#REF!</v>
      </c>
    </row>
    <row r="5" spans="3:25" x14ac:dyDescent="0.35">
      <c r="C5" s="9">
        <v>45368</v>
      </c>
      <c r="D5" s="7" t="s">
        <v>71</v>
      </c>
      <c r="F5" s="11">
        <f t="shared" si="0"/>
        <v>76</v>
      </c>
      <c r="O5" t="e">
        <f t="shared" ref="O5" si="1">TEXT(#REF!,"DDDD")</f>
        <v>#REF!</v>
      </c>
      <c r="P5" t="e">
        <f t="shared" ref="P5" si="2">TEXT(#REF!,"MMMM")</f>
        <v>#REF!</v>
      </c>
      <c r="Q5" t="e">
        <f t="shared" ref="Q5" si="3">TEXT(#REF!,"YYYY")</f>
        <v>#REF!</v>
      </c>
      <c r="R5" t="e">
        <f t="shared" ref="R5" si="4">#REF!-$B$3</f>
        <v>#REF!</v>
      </c>
      <c r="S5" t="e">
        <f t="shared" ref="S5" si="5">MONTH(#REF!)-MONTH($B$3)</f>
        <v>#REF!</v>
      </c>
      <c r="U5" t="e">
        <f t="shared" ref="U5" si="6">IF(WEEKDAY(#REF!,2)&gt;5,"WEEKENDS","WEEKDAYS")</f>
        <v>#REF!</v>
      </c>
      <c r="V5" t="e">
        <f t="shared" ref="V5" si="7">NETWORKDAYS.INTL($B$3,#REF!,1)</f>
        <v>#REF!</v>
      </c>
      <c r="W5" s="5" t="e">
        <f t="shared" ref="W5" si="8">WORKDAY(#REF!,1)</f>
        <v>#REF!</v>
      </c>
      <c r="X5" s="5" t="e">
        <f t="shared" ref="X5" si="9">EOMONTH(#REF!,0)</f>
        <v>#REF!</v>
      </c>
      <c r="Y5" s="5" t="e">
        <f t="shared" ref="Y5" si="10">WORKDAY.INTL(#REF!,-1,1)</f>
        <v>#REF!</v>
      </c>
    </row>
    <row r="6" spans="3:25" x14ac:dyDescent="0.35">
      <c r="C6" s="10">
        <v>45383</v>
      </c>
      <c r="D6" s="8" t="s">
        <v>70</v>
      </c>
      <c r="F6" s="11">
        <f t="shared" si="0"/>
        <v>91</v>
      </c>
      <c r="O6" t="e">
        <f t="shared" ref="O6" si="11">TEXT(#REF!,"DDDD")</f>
        <v>#REF!</v>
      </c>
      <c r="P6" t="e">
        <f t="shared" ref="P6" si="12">TEXT(#REF!,"MMMM")</f>
        <v>#REF!</v>
      </c>
      <c r="Q6" t="e">
        <f t="shared" ref="Q6" si="13">TEXT(#REF!,"YYYY")</f>
        <v>#REF!</v>
      </c>
      <c r="R6" t="e">
        <f t="shared" ref="R6" si="14">#REF!-$B$3</f>
        <v>#REF!</v>
      </c>
      <c r="S6" t="e">
        <f t="shared" ref="S6" si="15">MONTH(#REF!)-MONTH($B$3)</f>
        <v>#REF!</v>
      </c>
      <c r="U6" s="6" t="e">
        <f t="shared" ref="U6" si="16">IF(WEEKDAY(#REF!,2)&gt;5,"WEEKENDS","WEEKDAYS")</f>
        <v>#REF!</v>
      </c>
      <c r="V6" t="e">
        <f t="shared" ref="V6" si="17">NETWORKDAYS.INTL($B$3,#REF!,1)</f>
        <v>#REF!</v>
      </c>
      <c r="W6" s="5" t="e">
        <f t="shared" ref="W6" si="18">WORKDAY(#REF!,1)</f>
        <v>#REF!</v>
      </c>
      <c r="X6" s="5" t="e">
        <f t="shared" ref="X6" si="19">EOMONTH(#REF!,0)</f>
        <v>#REF!</v>
      </c>
      <c r="Y6" s="5" t="e">
        <f t="shared" ref="Y6" si="20">WORKDAY.INTL(#REF!,-1,1)</f>
        <v>#REF!</v>
      </c>
    </row>
    <row r="7" spans="3:25" x14ac:dyDescent="0.35">
      <c r="C7" s="9">
        <v>45413</v>
      </c>
      <c r="D7" s="7" t="s">
        <v>69</v>
      </c>
      <c r="F7" s="11">
        <f t="shared" si="0"/>
        <v>121</v>
      </c>
      <c r="O7" t="e">
        <f t="shared" ref="O7" si="21">TEXT(#REF!,"DDDD")</f>
        <v>#REF!</v>
      </c>
      <c r="P7" t="e">
        <f t="shared" ref="P7" si="22">TEXT(#REF!,"MMMM")</f>
        <v>#REF!</v>
      </c>
      <c r="Q7" t="e">
        <f t="shared" ref="Q7" si="23">TEXT(#REF!,"YYYY")</f>
        <v>#REF!</v>
      </c>
      <c r="R7" t="e">
        <f t="shared" ref="R7" si="24">#REF!-$B$3</f>
        <v>#REF!</v>
      </c>
      <c r="S7" t="e">
        <f t="shared" ref="S7" si="25">MONTH(#REF!)-MONTH($B$3)</f>
        <v>#REF!</v>
      </c>
      <c r="U7" t="e">
        <f t="shared" ref="U7" si="26">IF(WEEKDAY(#REF!,2)&gt;5,"WEEKENDS","WEEKDAYS")</f>
        <v>#REF!</v>
      </c>
      <c r="V7" t="e">
        <f t="shared" ref="V7" si="27">NETWORKDAYS.INTL($B$3,#REF!,1)</f>
        <v>#REF!</v>
      </c>
      <c r="W7" s="5" t="e">
        <f t="shared" ref="W7" si="28">WORKDAY(#REF!,1)</f>
        <v>#REF!</v>
      </c>
      <c r="X7" s="5" t="e">
        <f t="shared" ref="X7" si="29">EOMONTH(#REF!,0)</f>
        <v>#REF!</v>
      </c>
      <c r="Y7" s="5" t="e">
        <f t="shared" ref="Y7" si="30">WORKDAY.INTL(#REF!,-1,1)</f>
        <v>#REF!</v>
      </c>
    </row>
    <row r="8" spans="3:25" x14ac:dyDescent="0.35">
      <c r="C8" s="10">
        <v>45477</v>
      </c>
      <c r="D8" s="8" t="s">
        <v>68</v>
      </c>
      <c r="F8" s="11">
        <f t="shared" si="0"/>
        <v>185</v>
      </c>
      <c r="O8" t="e">
        <f t="shared" ref="O8" si="31">TEXT(#REF!,"DDDD")</f>
        <v>#REF!</v>
      </c>
      <c r="P8" t="e">
        <f t="shared" ref="P8" si="32">TEXT(#REF!,"MMMM")</f>
        <v>#REF!</v>
      </c>
      <c r="Q8" t="e">
        <f t="shared" ref="Q8" si="33">TEXT(#REF!,"YYYY")</f>
        <v>#REF!</v>
      </c>
      <c r="R8" t="e">
        <f t="shared" ref="R8" si="34">#REF!-$B$3</f>
        <v>#REF!</v>
      </c>
      <c r="S8" t="e">
        <f t="shared" ref="S8" si="35">MONTH(#REF!)-MONTH($B$3)</f>
        <v>#REF!</v>
      </c>
      <c r="U8" t="e">
        <f t="shared" ref="U8" si="36">IF(WEEKDAY(#REF!,2)&gt;5,"WEEKENDS","WEEKDAYS")</f>
        <v>#REF!</v>
      </c>
      <c r="V8" t="e">
        <f t="shared" ref="V8" si="37">NETWORKDAYS.INTL($B$3,#REF!,1)</f>
        <v>#REF!</v>
      </c>
      <c r="W8" s="5" t="e">
        <f t="shared" ref="W8" si="38">WORKDAY(#REF!,1)</f>
        <v>#REF!</v>
      </c>
      <c r="X8" s="5" t="e">
        <f t="shared" ref="X8" si="39">EOMONTH(#REF!,0)</f>
        <v>#REF!</v>
      </c>
      <c r="Y8" s="5" t="e">
        <f t="shared" ref="Y8" si="40">WORKDAY.INTL(#REF!,-1,1)</f>
        <v>#REF!</v>
      </c>
    </row>
    <row r="9" spans="3:25" x14ac:dyDescent="0.35">
      <c r="C9" s="9">
        <v>45596</v>
      </c>
      <c r="D9" s="7" t="s">
        <v>67</v>
      </c>
      <c r="F9" s="11">
        <f t="shared" si="0"/>
        <v>304</v>
      </c>
      <c r="O9" t="e">
        <f t="shared" ref="O9" si="41">TEXT(#REF!,"DDDD")</f>
        <v>#REF!</v>
      </c>
      <c r="P9" t="e">
        <f t="shared" ref="P9" si="42">TEXT(#REF!,"MMMM")</f>
        <v>#REF!</v>
      </c>
      <c r="Q9" t="e">
        <f t="shared" ref="Q9" si="43">TEXT(#REF!,"YYYY")</f>
        <v>#REF!</v>
      </c>
      <c r="R9" t="e">
        <f t="shared" ref="R9" si="44">#REF!-$B$3</f>
        <v>#REF!</v>
      </c>
      <c r="S9" t="e">
        <f t="shared" ref="S9" si="45">MONTH(#REF!)-MONTH($B$3)</f>
        <v>#REF!</v>
      </c>
      <c r="U9" t="e">
        <f t="shared" ref="U9" si="46">IF(WEEKDAY(#REF!,2)&gt;5,"WEEKENDS","WEEKDAYS")</f>
        <v>#REF!</v>
      </c>
      <c r="V9" t="e">
        <f t="shared" ref="V9" si="47">NETWORKDAYS.INTL($B$3,#REF!,1)</f>
        <v>#REF!</v>
      </c>
      <c r="W9" s="5" t="e">
        <f t="shared" ref="W9" si="48">WORKDAY(#REF!,1)</f>
        <v>#REF!</v>
      </c>
      <c r="X9" s="5" t="e">
        <f t="shared" ref="X9" si="49">EOMONTH(#REF!,0)</f>
        <v>#REF!</v>
      </c>
      <c r="Y9" s="5" t="e">
        <f t="shared" ref="Y9" si="50">WORKDAY.INTL(#REF!,-1,1)</f>
        <v>#REF!</v>
      </c>
    </row>
    <row r="10" spans="3:25" x14ac:dyDescent="0.35">
      <c r="C10" s="10">
        <v>45607</v>
      </c>
      <c r="D10" s="8" t="s">
        <v>66</v>
      </c>
      <c r="F10" s="11">
        <f t="shared" si="0"/>
        <v>315</v>
      </c>
      <c r="O10" t="e">
        <f t="shared" ref="O10" si="51">TEXT(#REF!,"DDDD")</f>
        <v>#REF!</v>
      </c>
      <c r="P10" t="e">
        <f t="shared" ref="P10" si="52">TEXT(#REF!,"MMMM")</f>
        <v>#REF!</v>
      </c>
      <c r="Q10" t="e">
        <f t="shared" ref="Q10" si="53">TEXT(#REF!,"YYYY")</f>
        <v>#REF!</v>
      </c>
      <c r="R10" t="e">
        <f t="shared" ref="R10" si="54">#REF!-$B$3</f>
        <v>#REF!</v>
      </c>
      <c r="S10" t="e">
        <f t="shared" ref="S10" si="55">MONTH(#REF!)-MONTH($B$3)</f>
        <v>#REF!</v>
      </c>
      <c r="U10" t="e">
        <f t="shared" ref="U10" si="56">IF(WEEKDAY(#REF!,2)&gt;5,"WEEKENDS","WEEKDAYS")</f>
        <v>#REF!</v>
      </c>
      <c r="V10" t="e">
        <f t="shared" ref="V10" si="57">NETWORKDAYS.INTL($B$3,#REF!,1)</f>
        <v>#REF!</v>
      </c>
      <c r="W10" s="5" t="e">
        <f t="shared" ref="W10" si="58">WORKDAY(#REF!,1)</f>
        <v>#REF!</v>
      </c>
      <c r="X10" s="5" t="e">
        <f t="shared" ref="X10" si="59">EOMONTH(#REF!,0)</f>
        <v>#REF!</v>
      </c>
      <c r="Y10" s="5" t="e">
        <f t="shared" ref="Y10" si="60">WORKDAY.INTL(#REF!,-1,1)</f>
        <v>#REF!</v>
      </c>
    </row>
    <row r="11" spans="3:25" x14ac:dyDescent="0.35">
      <c r="C11" s="9">
        <v>45651</v>
      </c>
      <c r="D11" s="7" t="s">
        <v>65</v>
      </c>
      <c r="F11" s="11">
        <f t="shared" si="0"/>
        <v>359</v>
      </c>
      <c r="O11" t="e">
        <f t="shared" ref="O11" si="61">TEXT(#REF!,"DDDD")</f>
        <v>#REF!</v>
      </c>
      <c r="P11" t="e">
        <f t="shared" ref="P11" si="62">TEXT(#REF!,"MMMM")</f>
        <v>#REF!</v>
      </c>
      <c r="Q11" t="e">
        <f t="shared" ref="Q11" si="63">TEXT(#REF!,"YYYY")</f>
        <v>#REF!</v>
      </c>
      <c r="R11" t="e">
        <f t="shared" ref="R11" si="64">#REF!-$B$3</f>
        <v>#REF!</v>
      </c>
      <c r="S11" t="e">
        <f t="shared" ref="S11" si="65">MONTH(#REF!)-MONTH($B$3)</f>
        <v>#REF!</v>
      </c>
      <c r="U11" t="e">
        <f t="shared" ref="U11" si="66">IF(WEEKDAY(#REF!,2)&gt;5,"WEEKENDS","WEEKDAYS")</f>
        <v>#REF!</v>
      </c>
      <c r="V11" t="e">
        <f t="shared" ref="V11" si="67">NETWORKDAYS.INTL($B$3,#REF!,1)</f>
        <v>#REF!</v>
      </c>
      <c r="W11" s="5" t="e">
        <f t="shared" ref="W11" si="68">WORKDAY(#REF!,1)</f>
        <v>#REF!</v>
      </c>
      <c r="X11" s="5" t="e">
        <f t="shared" ref="X11" si="69">EOMONTH(#REF!,0)</f>
        <v>#REF!</v>
      </c>
      <c r="Y11" s="5" t="e">
        <f t="shared" ref="Y11" si="70">WORKDAY.INTL(#REF!,-1,1)</f>
        <v>#REF!</v>
      </c>
    </row>
    <row r="12" spans="3:25" x14ac:dyDescent="0.35">
      <c r="O12" t="e">
        <f t="shared" ref="O12" si="71">TEXT(#REF!,"DDDD")</f>
        <v>#REF!</v>
      </c>
      <c r="P12" t="e">
        <f t="shared" ref="P12" si="72">TEXT(#REF!,"MMMM")</f>
        <v>#REF!</v>
      </c>
      <c r="Q12" t="e">
        <f t="shared" ref="Q12" si="73">TEXT(#REF!,"YYYY")</f>
        <v>#REF!</v>
      </c>
      <c r="R12" t="e">
        <f t="shared" ref="R12" si="74">#REF!-$B$3</f>
        <v>#REF!</v>
      </c>
      <c r="S12" t="e">
        <f t="shared" ref="S12" si="75">MONTH(#REF!)-MONTH($B$3)</f>
        <v>#REF!</v>
      </c>
      <c r="U12" t="e">
        <f t="shared" ref="U12" si="76">IF(WEEKDAY(#REF!,2)&gt;5,"WEEKENDS","WEEKDAYS")</f>
        <v>#REF!</v>
      </c>
      <c r="V12" t="e">
        <f t="shared" ref="V12" si="77">NETWORKDAYS.INTL($B$3,#REF!,1)</f>
        <v>#REF!</v>
      </c>
      <c r="W12" s="5" t="e">
        <f t="shared" ref="W12" si="78">WORKDAY(#REF!,1)</f>
        <v>#REF!</v>
      </c>
      <c r="X12" s="5" t="e">
        <f t="shared" ref="X12" si="79">EOMONTH(#REF!,0)</f>
        <v>#REF!</v>
      </c>
      <c r="Y12" s="5" t="e">
        <f t="shared" ref="Y12" si="80">WORKDAY.INTL(#REF!,-1,1)</f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ravi kumar</cp:lastModifiedBy>
  <dcterms:created xsi:type="dcterms:W3CDTF">2026-07-18T04:40:49Z</dcterms:created>
  <dcterms:modified xsi:type="dcterms:W3CDTF">2026-08-11T05:23:10Z</dcterms:modified>
</cp:coreProperties>
</file>